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yan\Desktop\"/>
    </mc:Choice>
  </mc:AlternateContent>
  <xr:revisionPtr revIDLastSave="0" documentId="13_ncr:1_{FEE8341B-E1FC-4B04-88BF-921DF75630B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📌 تعليمات" sheetId="1" r:id="rId1"/>
    <sheet name="Daily Tracker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2" l="1"/>
  <c r="J37" i="2"/>
  <c r="J36" i="2"/>
  <c r="J35" i="2"/>
  <c r="I38" i="2"/>
  <c r="I37" i="2"/>
  <c r="I36" i="2"/>
  <c r="I35" i="2"/>
  <c r="K38" i="2"/>
  <c r="K37" i="2"/>
  <c r="K36" i="2"/>
  <c r="K35" i="2"/>
  <c r="L38" i="2"/>
  <c r="L37" i="2"/>
  <c r="L36" i="2"/>
  <c r="L35" i="2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0" i="3" s="1"/>
  <c r="B4" i="3"/>
  <c r="M38" i="2"/>
  <c r="H38" i="2"/>
  <c r="G38" i="2"/>
  <c r="F38" i="2"/>
  <c r="E38" i="2"/>
  <c r="C38" i="2"/>
  <c r="M37" i="2"/>
  <c r="H37" i="2"/>
  <c r="G37" i="2"/>
  <c r="F37" i="2"/>
  <c r="E37" i="2"/>
  <c r="C37" i="2"/>
  <c r="N36" i="2"/>
  <c r="M36" i="2"/>
  <c r="H36" i="2"/>
  <c r="G36" i="2"/>
  <c r="F36" i="2"/>
  <c r="E36" i="2"/>
  <c r="C36" i="2"/>
  <c r="M35" i="2"/>
  <c r="H35" i="2"/>
  <c r="G35" i="2"/>
  <c r="F35" i="2"/>
  <c r="E35" i="2"/>
  <c r="C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D10" i="3" l="1"/>
  <c r="B10" i="3"/>
  <c r="F8" i="3" s="1"/>
  <c r="N37" i="2"/>
  <c r="N35" i="2"/>
  <c r="E10" i="3"/>
  <c r="F6" i="3"/>
  <c r="F4" i="3"/>
  <c r="F5" i="3"/>
  <c r="F9" i="3"/>
  <c r="N38" i="2"/>
  <c r="F7" i="3" l="1"/>
  <c r="F10" i="3"/>
</calcChain>
</file>

<file path=xl/sharedStrings.xml><?xml version="1.0" encoding="utf-8"?>
<sst xmlns="http://schemas.openxmlformats.org/spreadsheetml/2006/main" count="87" uniqueCount="54">
  <si>
    <t>📊 تمبلت متابعة ليدز ورش RS — مايو 2026</t>
  </si>
  <si>
    <t>الشيتات:</t>
  </si>
  <si>
    <t>1️⃣  Daily Tracker — املا عدد الليدز اليومي لكل ورشة</t>
  </si>
  <si>
    <t>2️⃣  Summary — ملخص شهري تلقائي (إجمالي + متوسط + أعلى/أقل + نسبة من الإجمالي)</t>
  </si>
  <si>
    <t>طريقة الاستخدام:</t>
  </si>
  <si>
    <t>• افتح Daily Tracker → دور على اليوم → اكتب عدد الليدز تحت كل ورشة</t>
  </si>
  <si>
    <t>• الإجمالي اليومي والإجمالي الشهري والمتوسطات بتتحسب لوحدها</t>
  </si>
  <si>
    <t>• عمود الملاحظات لأي تعليق على يوم معين (مثال: إعلان جديد اتطلق، يوم إجازة، حملة خصم...)</t>
  </si>
  <si>
    <t>• خانات الجمعة + السبت ملونة برتقالي خفيف عشان تفرقهم بصرياً</t>
  </si>
  <si>
    <t>• الـ Heatmap الملون بيظهر أيام الـ peak والأيام الضعيفة في كل ورشة</t>
  </si>
  <si>
    <t>الورش المتابَعة (من ملف المشروع):</t>
  </si>
  <si>
    <t>• المحاسب المالي</t>
  </si>
  <si>
    <t>• المحاسب الشامل</t>
  </si>
  <si>
    <t>• خبير الضرائب</t>
  </si>
  <si>
    <t>• Odoo محاسبة</t>
  </si>
  <si>
    <t>• هندسة التكاليف</t>
  </si>
  <si>
    <t>• التحليل المالي</t>
  </si>
  <si>
    <t>نصايح من سياق RS:</t>
  </si>
  <si>
    <t>• الورشة اللي بتجيب أقل من 30% من متوسط باقي الورش → راجع الـ targeting والـ creative</t>
  </si>
  <si>
    <t>• قارن يومين الـ weekend (الجمعة + السبت) بباقي الأسبوع — غالباً أعلى ليدز للورش</t>
  </si>
  <si>
    <t>• خزّن نسخة جديدة كل شهر باسم: RS_Leads_2026_MM.xlsx (احتفظ بالتاريخ للمقارنة الشهرية)</t>
  </si>
  <si>
    <t>• لو ورشة معينة تخطت 25% من إجمالي الشهر → فكر تزود ميزانية إعلانها</t>
  </si>
  <si>
    <t>📊 متابعة الليدز اليومية — RS — مايو 2026</t>
  </si>
  <si>
    <t>التاريخ</t>
  </si>
  <si>
    <t>اليوم</t>
  </si>
  <si>
    <t>المحاسب المالي</t>
  </si>
  <si>
    <t>المحاسب الشامل</t>
  </si>
  <si>
    <t>خبير الضرائب</t>
  </si>
  <si>
    <t>Odoo محاسبة</t>
  </si>
  <si>
    <t>هندسة التكاليف</t>
  </si>
  <si>
    <t>التحليل المالي</t>
  </si>
  <si>
    <t>الإجمالي اليومي</t>
  </si>
  <si>
    <t>ملاحظات</t>
  </si>
  <si>
    <t>الجمعة</t>
  </si>
  <si>
    <t>السبت</t>
  </si>
  <si>
    <t>الأحد</t>
  </si>
  <si>
    <t>الإثنين</t>
  </si>
  <si>
    <t>الثلاثاء</t>
  </si>
  <si>
    <t>الأربعاء</t>
  </si>
  <si>
    <t>الخميس</t>
  </si>
  <si>
    <t>الإجمالي الشهري</t>
  </si>
  <si>
    <t>المتوسط اليومي</t>
  </si>
  <si>
    <t>أعلى يوم</t>
  </si>
  <si>
    <t>أقل يوم</t>
  </si>
  <si>
    <t>📈 ملخص أداء الورش — مايو 2026</t>
  </si>
  <si>
    <t>الورشة</t>
  </si>
  <si>
    <t>إجمالي الليدز</t>
  </si>
  <si>
    <t>% من إجمالي الشهر</t>
  </si>
  <si>
    <t>الإجمالي</t>
  </si>
  <si>
    <t>Shamel Alex</t>
  </si>
  <si>
    <t>udemy</t>
  </si>
  <si>
    <t>المدير المالى</t>
  </si>
  <si>
    <t>القوائم المالية</t>
  </si>
  <si>
    <t>الاكسيل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</si>
</sst>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3"/>
      <color rgb="FF1F38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4E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rightToLeft="1" workbookViewId="0">
      <selection activeCell="A8" sqref="A8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1" t="s">
        <v>0</v>
      </c>
    </row>
    <row r="2" spans="1:1" ht="21.9" customHeight="1" x14ac:dyDescent="0.3">
      <c r="A2" s="12"/>
    </row>
    <row r="3" spans="1:1" ht="30" customHeight="1" x14ac:dyDescent="0.3">
      <c r="A3" s="13" t="s">
        <v>1</v>
      </c>
    </row>
    <row r="4" spans="1:1" ht="21.9" customHeight="1" x14ac:dyDescent="0.3">
      <c r="A4" s="12" t="s">
        <v>2</v>
      </c>
    </row>
    <row r="5" spans="1:1" ht="21.9" customHeight="1" x14ac:dyDescent="0.3">
      <c r="A5" s="12" t="s">
        <v>3</v>
      </c>
    </row>
    <row r="6" spans="1:1" ht="21.9" customHeight="1" x14ac:dyDescent="0.3">
      <c r="A6" s="12"/>
    </row>
    <row r="7" spans="1:1" ht="30" customHeight="1" x14ac:dyDescent="0.3">
      <c r="A7" s="13" t="s">
        <v>4</v>
      </c>
    </row>
    <row r="8" spans="1:1" ht="21.9" customHeight="1" x14ac:dyDescent="0.3">
      <c r="A8" s="12" t="s">
        <v>5</v>
      </c>
    </row>
    <row r="9" spans="1:1" ht="21.9" customHeight="1" x14ac:dyDescent="0.3">
      <c r="A9" s="12" t="s">
        <v>6</v>
      </c>
    </row>
    <row r="10" spans="1:1" ht="21.9" customHeight="1" x14ac:dyDescent="0.3">
      <c r="A10" s="12" t="s">
        <v>7</v>
      </c>
    </row>
    <row r="11" spans="1:1" ht="21.9" customHeight="1" x14ac:dyDescent="0.3">
      <c r="A11" s="12" t="s">
        <v>8</v>
      </c>
    </row>
    <row r="12" spans="1:1" ht="21.9" customHeight="1" x14ac:dyDescent="0.3">
      <c r="A12" s="12" t="s">
        <v>9</v>
      </c>
    </row>
    <row r="13" spans="1:1" ht="21.9" customHeight="1" x14ac:dyDescent="0.3">
      <c r="A13" s="12"/>
    </row>
    <row r="14" spans="1:1" ht="30" customHeight="1" x14ac:dyDescent="0.3">
      <c r="A14" s="13" t="s">
        <v>10</v>
      </c>
    </row>
    <row r="15" spans="1:1" ht="21.9" customHeight="1" x14ac:dyDescent="0.3">
      <c r="A15" s="12" t="s">
        <v>11</v>
      </c>
    </row>
    <row r="16" spans="1:1" ht="21.9" customHeight="1" x14ac:dyDescent="0.3">
      <c r="A16" s="12" t="s">
        <v>12</v>
      </c>
    </row>
    <row r="17" spans="1:1" ht="21.9" customHeight="1" x14ac:dyDescent="0.3">
      <c r="A17" s="12" t="s">
        <v>13</v>
      </c>
    </row>
    <row r="18" spans="1:1" ht="21.9" customHeight="1" x14ac:dyDescent="0.3">
      <c r="A18" s="12" t="s">
        <v>14</v>
      </c>
    </row>
    <row r="19" spans="1:1" ht="21.9" customHeight="1" x14ac:dyDescent="0.3">
      <c r="A19" s="12" t="s">
        <v>15</v>
      </c>
    </row>
    <row r="20" spans="1:1" ht="21.9" customHeight="1" x14ac:dyDescent="0.3">
      <c r="A20" s="12" t="s">
        <v>16</v>
      </c>
    </row>
    <row r="21" spans="1:1" ht="21.9" customHeight="1" x14ac:dyDescent="0.3">
      <c r="A21" s="12"/>
    </row>
    <row r="22" spans="1:1" ht="30" customHeight="1" x14ac:dyDescent="0.3">
      <c r="A22" s="13" t="s">
        <v>17</v>
      </c>
    </row>
    <row r="23" spans="1:1" ht="21.9" customHeight="1" x14ac:dyDescent="0.3">
      <c r="A23" s="12" t="s">
        <v>18</v>
      </c>
    </row>
    <row r="24" spans="1:1" ht="21.9" customHeight="1" x14ac:dyDescent="0.3">
      <c r="A24" s="12" t="s">
        <v>19</v>
      </c>
    </row>
    <row r="25" spans="1:1" ht="21.9" customHeight="1" x14ac:dyDescent="0.3">
      <c r="A25" s="12" t="s">
        <v>20</v>
      </c>
    </row>
    <row r="26" spans="1:1" ht="21.9" customHeight="1" x14ac:dyDescent="0.3">
      <c r="A26" s="12" t="s">
        <v>21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rightToLeft="1" tabSelected="1" zoomScale="70" zoomScaleNormal="70" workbookViewId="0">
      <pane xSplit="2" ySplit="3" topLeftCell="C10" activePane="bottomRight" state="frozen"/>
      <selection pane="topRight"/>
      <selection pane="bottomLeft"/>
      <selection pane="bottomRight" activeCell="J40" sqref="J40"/>
    </sheetView>
  </sheetViews>
  <sheetFormatPr defaultRowHeight="14.4" x14ac:dyDescent="0.3"/>
  <cols>
    <col min="1" max="2" width="12" customWidth="1"/>
    <col min="3" max="14" width="17" customWidth="1"/>
    <col min="15" max="15" width="28" customWidth="1"/>
  </cols>
  <sheetData>
    <row r="1" spans="1:15" ht="33.9" customHeight="1" x14ac:dyDescent="0.3">
      <c r="A1" s="14" t="s">
        <v>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1:15" ht="32.1" customHeight="1" x14ac:dyDescent="0.3">
      <c r="A3" s="1" t="s">
        <v>23</v>
      </c>
      <c r="B3" s="1" t="s">
        <v>24</v>
      </c>
      <c r="C3" s="1" t="s">
        <v>25</v>
      </c>
      <c r="D3" s="1" t="s">
        <v>49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51</v>
      </c>
      <c r="J3" s="1" t="s">
        <v>52</v>
      </c>
      <c r="K3" s="1" t="s">
        <v>53</v>
      </c>
      <c r="L3" s="1" t="s">
        <v>50</v>
      </c>
      <c r="M3" s="1" t="s">
        <v>30</v>
      </c>
      <c r="N3" s="1" t="s">
        <v>31</v>
      </c>
      <c r="O3" s="1" t="s">
        <v>32</v>
      </c>
    </row>
    <row r="4" spans="1:15" x14ac:dyDescent="0.3">
      <c r="A4" s="2">
        <v>46143</v>
      </c>
      <c r="B4" s="3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>
        <f t="shared" ref="N4:N35" si="0">SUM(C4:M4)</f>
        <v>0</v>
      </c>
      <c r="O4" s="3"/>
    </row>
    <row r="5" spans="1:15" x14ac:dyDescent="0.3">
      <c r="A5" s="2">
        <v>46144</v>
      </c>
      <c r="B5" s="3" t="s">
        <v>34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>
        <f t="shared" si="0"/>
        <v>0</v>
      </c>
      <c r="O5" s="3"/>
    </row>
    <row r="6" spans="1:15" x14ac:dyDescent="0.3">
      <c r="A6" s="5">
        <v>46145</v>
      </c>
      <c r="B6" s="6" t="s">
        <v>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>
        <f t="shared" si="0"/>
        <v>0</v>
      </c>
      <c r="O6" s="6"/>
    </row>
    <row r="7" spans="1:15" x14ac:dyDescent="0.3">
      <c r="A7" s="5">
        <v>46146</v>
      </c>
      <c r="B7" s="6" t="s">
        <v>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f t="shared" si="0"/>
        <v>0</v>
      </c>
      <c r="O7" s="6"/>
    </row>
    <row r="8" spans="1:15" x14ac:dyDescent="0.3">
      <c r="A8" s="5">
        <v>46147</v>
      </c>
      <c r="B8" s="6" t="s">
        <v>37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>
        <f t="shared" si="0"/>
        <v>0</v>
      </c>
      <c r="O8" s="6"/>
    </row>
    <row r="9" spans="1:15" x14ac:dyDescent="0.3">
      <c r="A9" s="5">
        <v>46148</v>
      </c>
      <c r="B9" s="6" t="s">
        <v>38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>
        <f t="shared" si="0"/>
        <v>0</v>
      </c>
      <c r="O9" s="6"/>
    </row>
    <row r="10" spans="1:15" x14ac:dyDescent="0.3">
      <c r="A10" s="5">
        <v>46149</v>
      </c>
      <c r="B10" s="6" t="s">
        <v>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>
        <f t="shared" si="0"/>
        <v>0</v>
      </c>
      <c r="O10" s="6"/>
    </row>
    <row r="11" spans="1:15" x14ac:dyDescent="0.3">
      <c r="A11" s="2">
        <v>46150</v>
      </c>
      <c r="B11" s="3" t="s">
        <v>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>
        <f t="shared" si="0"/>
        <v>0</v>
      </c>
      <c r="O11" s="3"/>
    </row>
    <row r="12" spans="1:15" x14ac:dyDescent="0.3">
      <c r="A12" s="2">
        <v>46151</v>
      </c>
      <c r="B12" s="3" t="s">
        <v>34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>
        <f t="shared" si="0"/>
        <v>0</v>
      </c>
      <c r="O12" s="3"/>
    </row>
    <row r="13" spans="1:15" x14ac:dyDescent="0.3">
      <c r="A13" s="5">
        <v>46152</v>
      </c>
      <c r="B13" s="6" t="s">
        <v>35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>
        <f t="shared" si="0"/>
        <v>0</v>
      </c>
      <c r="O13" s="6"/>
    </row>
    <row r="14" spans="1:15" x14ac:dyDescent="0.3">
      <c r="A14" s="5">
        <v>46153</v>
      </c>
      <c r="B14" s="6" t="s">
        <v>36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>
        <f t="shared" si="0"/>
        <v>0</v>
      </c>
      <c r="O14" s="6"/>
    </row>
    <row r="15" spans="1:15" x14ac:dyDescent="0.3">
      <c r="A15" s="5">
        <v>46154</v>
      </c>
      <c r="B15" s="6" t="s">
        <v>37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>
        <f t="shared" si="0"/>
        <v>0</v>
      </c>
      <c r="O15" s="6"/>
    </row>
    <row r="16" spans="1:15" x14ac:dyDescent="0.3">
      <c r="A16" s="5">
        <v>46155</v>
      </c>
      <c r="B16" s="6" t="s">
        <v>38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>
        <f t="shared" si="0"/>
        <v>0</v>
      </c>
      <c r="O16" s="6"/>
    </row>
    <row r="17" spans="1:15" x14ac:dyDescent="0.3">
      <c r="A17" s="5">
        <v>46156</v>
      </c>
      <c r="B17" s="6" t="s">
        <v>39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>
        <f t="shared" si="0"/>
        <v>0</v>
      </c>
      <c r="O17" s="6"/>
    </row>
    <row r="18" spans="1:15" x14ac:dyDescent="0.3">
      <c r="A18" s="2">
        <v>46157</v>
      </c>
      <c r="B18" s="3" t="s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>
        <f t="shared" si="0"/>
        <v>0</v>
      </c>
      <c r="O18" s="3"/>
    </row>
    <row r="19" spans="1:15" x14ac:dyDescent="0.3">
      <c r="A19" s="2">
        <v>46158</v>
      </c>
      <c r="B19" s="3" t="s">
        <v>34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>
        <f t="shared" si="0"/>
        <v>0</v>
      </c>
      <c r="O19" s="3"/>
    </row>
    <row r="20" spans="1:15" x14ac:dyDescent="0.3">
      <c r="A20" s="5">
        <v>46159</v>
      </c>
      <c r="B20" s="6" t="s">
        <v>35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>
        <f t="shared" si="0"/>
        <v>0</v>
      </c>
      <c r="O20" s="6"/>
    </row>
    <row r="21" spans="1:15" x14ac:dyDescent="0.3">
      <c r="A21" s="5">
        <v>46160</v>
      </c>
      <c r="B21" s="6" t="s">
        <v>36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>
        <f t="shared" si="0"/>
        <v>0</v>
      </c>
      <c r="O21" s="6"/>
    </row>
    <row r="22" spans="1:15" x14ac:dyDescent="0.3">
      <c r="A22" s="5">
        <v>46161</v>
      </c>
      <c r="B22" s="6" t="s">
        <v>37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>
        <f t="shared" si="0"/>
        <v>0</v>
      </c>
      <c r="O22" s="6"/>
    </row>
    <row r="23" spans="1:15" x14ac:dyDescent="0.3">
      <c r="A23" s="5">
        <v>46162</v>
      </c>
      <c r="B23" s="6" t="s">
        <v>38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>
        <f t="shared" si="0"/>
        <v>0</v>
      </c>
      <c r="O23" s="6"/>
    </row>
    <row r="24" spans="1:15" x14ac:dyDescent="0.3">
      <c r="A24" s="5">
        <v>46163</v>
      </c>
      <c r="B24" s="6" t="s">
        <v>39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>
        <f t="shared" si="0"/>
        <v>0</v>
      </c>
      <c r="O24" s="6"/>
    </row>
    <row r="25" spans="1:15" x14ac:dyDescent="0.3">
      <c r="A25" s="2">
        <v>46164</v>
      </c>
      <c r="B25" s="3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>
        <f t="shared" si="0"/>
        <v>0</v>
      </c>
      <c r="O25" s="3"/>
    </row>
    <row r="26" spans="1:15" x14ac:dyDescent="0.3">
      <c r="A26" s="2">
        <v>46165</v>
      </c>
      <c r="B26" s="3" t="s">
        <v>34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>
        <f t="shared" si="0"/>
        <v>0</v>
      </c>
      <c r="O26" s="3"/>
    </row>
    <row r="27" spans="1:15" x14ac:dyDescent="0.3">
      <c r="A27" s="5">
        <v>46166</v>
      </c>
      <c r="B27" s="6" t="s">
        <v>35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>
        <f t="shared" si="0"/>
        <v>0</v>
      </c>
      <c r="O27" s="6"/>
    </row>
    <row r="28" spans="1:15" x14ac:dyDescent="0.3">
      <c r="A28" s="5">
        <v>46167</v>
      </c>
      <c r="B28" s="6" t="s">
        <v>36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>
        <f t="shared" si="0"/>
        <v>0</v>
      </c>
      <c r="O28" s="6"/>
    </row>
    <row r="29" spans="1:15" x14ac:dyDescent="0.3">
      <c r="A29" s="5">
        <v>46168</v>
      </c>
      <c r="B29" s="6" t="s">
        <v>37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>
        <f t="shared" si="0"/>
        <v>0</v>
      </c>
      <c r="O29" s="6"/>
    </row>
    <row r="30" spans="1:15" x14ac:dyDescent="0.3">
      <c r="A30" s="5">
        <v>46169</v>
      </c>
      <c r="B30" s="6" t="s">
        <v>38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>
        <f t="shared" si="0"/>
        <v>0</v>
      </c>
      <c r="O30" s="6"/>
    </row>
    <row r="31" spans="1:15" x14ac:dyDescent="0.3">
      <c r="A31" s="5">
        <v>46170</v>
      </c>
      <c r="B31" s="6" t="s">
        <v>39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>
        <f t="shared" si="0"/>
        <v>0</v>
      </c>
      <c r="O31" s="6"/>
    </row>
    <row r="32" spans="1:15" x14ac:dyDescent="0.3">
      <c r="A32" s="2">
        <v>46171</v>
      </c>
      <c r="B32" s="3" t="s">
        <v>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>
        <f t="shared" si="0"/>
        <v>0</v>
      </c>
      <c r="O32" s="3"/>
    </row>
    <row r="33" spans="1:15" x14ac:dyDescent="0.3">
      <c r="A33" s="2">
        <v>46172</v>
      </c>
      <c r="B33" s="3" t="s">
        <v>34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>
        <f t="shared" si="0"/>
        <v>0</v>
      </c>
      <c r="O33" s="3"/>
    </row>
    <row r="34" spans="1:15" x14ac:dyDescent="0.3">
      <c r="A34" s="5">
        <v>46173</v>
      </c>
      <c r="B34" s="6" t="s">
        <v>35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>
        <f t="shared" si="0"/>
        <v>0</v>
      </c>
      <c r="O34" s="6"/>
    </row>
    <row r="35" spans="1:15" x14ac:dyDescent="0.3">
      <c r="A35" s="16" t="s">
        <v>40</v>
      </c>
      <c r="B35" s="16"/>
      <c r="C35" s="8">
        <f t="shared" ref="C35:M35" si="1">SUM(C4:C34)</f>
        <v>0</v>
      </c>
      <c r="D35" s="8"/>
      <c r="E35" s="8">
        <f t="shared" si="1"/>
        <v>0</v>
      </c>
      <c r="F35" s="8">
        <f t="shared" si="1"/>
        <v>0</v>
      </c>
      <c r="G35" s="8">
        <f t="shared" si="1"/>
        <v>0</v>
      </c>
      <c r="H35" s="8">
        <f t="shared" si="1"/>
        <v>0</v>
      </c>
      <c r="I35" s="8">
        <f t="shared" ref="I35:J35" si="2">SUM(I4:I34)</f>
        <v>0</v>
      </c>
      <c r="J35" s="8">
        <f t="shared" si="2"/>
        <v>0</v>
      </c>
      <c r="K35" s="8">
        <f t="shared" ref="K35" si="3">SUM(K4:K34)</f>
        <v>0</v>
      </c>
      <c r="L35" s="8">
        <f t="shared" ref="L35" si="4">SUM(L4:L34)</f>
        <v>0</v>
      </c>
      <c r="M35" s="8">
        <f t="shared" si="1"/>
        <v>0</v>
      </c>
      <c r="N35" s="8">
        <f t="shared" si="0"/>
        <v>0</v>
      </c>
      <c r="O35" s="8"/>
    </row>
    <row r="36" spans="1:15" x14ac:dyDescent="0.3">
      <c r="A36" s="16" t="s">
        <v>41</v>
      </c>
      <c r="B36" s="16"/>
      <c r="C36" s="8">
        <f t="shared" ref="C36:M36" si="5">IFERROR(ROUND(AVERAGE(C4:C34),1),0)</f>
        <v>0</v>
      </c>
      <c r="D36" s="8"/>
      <c r="E36" s="8">
        <f t="shared" si="5"/>
        <v>0</v>
      </c>
      <c r="F36" s="8">
        <f t="shared" si="5"/>
        <v>0</v>
      </c>
      <c r="G36" s="8">
        <f t="shared" si="5"/>
        <v>0</v>
      </c>
      <c r="H36" s="8">
        <f t="shared" si="5"/>
        <v>0</v>
      </c>
      <c r="I36" s="8">
        <f t="shared" ref="I36:J36" si="6">IFERROR(ROUND(AVERAGE(I4:I34),1),0)</f>
        <v>0</v>
      </c>
      <c r="J36" s="8">
        <f t="shared" si="6"/>
        <v>0</v>
      </c>
      <c r="K36" s="8">
        <f t="shared" ref="K36" si="7">IFERROR(ROUND(AVERAGE(K4:K34),1),0)</f>
        <v>0</v>
      </c>
      <c r="L36" s="8">
        <f t="shared" ref="L36" si="8">IFERROR(ROUND(AVERAGE(L4:L34),1),0)</f>
        <v>0</v>
      </c>
      <c r="M36" s="8">
        <f t="shared" si="5"/>
        <v>0</v>
      </c>
      <c r="N36" s="8">
        <f>IFERROR(ROUND(AVERAGE(C4:M34),1),0)</f>
        <v>0</v>
      </c>
      <c r="O36" s="8"/>
    </row>
    <row r="37" spans="1:15" x14ac:dyDescent="0.3">
      <c r="A37" s="16" t="s">
        <v>42</v>
      </c>
      <c r="B37" s="16"/>
      <c r="C37" s="8">
        <f t="shared" ref="C37:N37" si="9">IFERROR(MAX(C4:C34),0)</f>
        <v>0</v>
      </c>
      <c r="D37" s="8"/>
      <c r="E37" s="8">
        <f t="shared" si="9"/>
        <v>0</v>
      </c>
      <c r="F37" s="8">
        <f t="shared" si="9"/>
        <v>0</v>
      </c>
      <c r="G37" s="8">
        <f t="shared" si="9"/>
        <v>0</v>
      </c>
      <c r="H37" s="8">
        <f t="shared" si="9"/>
        <v>0</v>
      </c>
      <c r="I37" s="8">
        <f t="shared" ref="I37:J37" si="10">IFERROR(MAX(I4:I34),0)</f>
        <v>0</v>
      </c>
      <c r="J37" s="8">
        <f t="shared" si="10"/>
        <v>0</v>
      </c>
      <c r="K37" s="8">
        <f t="shared" ref="K37" si="11">IFERROR(MAX(K4:K34),0)</f>
        <v>0</v>
      </c>
      <c r="L37" s="8">
        <f t="shared" ref="L37" si="12">IFERROR(MAX(L4:L34),0)</f>
        <v>0</v>
      </c>
      <c r="M37" s="8">
        <f t="shared" si="9"/>
        <v>0</v>
      </c>
      <c r="N37" s="8">
        <f t="shared" si="9"/>
        <v>0</v>
      </c>
      <c r="O37" s="8"/>
    </row>
    <row r="38" spans="1:15" x14ac:dyDescent="0.3">
      <c r="A38" s="16" t="s">
        <v>43</v>
      </c>
      <c r="B38" s="16"/>
      <c r="C38" s="8">
        <f t="shared" ref="C38:N38" si="13">IFERROR(MIN(C4:C34),0)</f>
        <v>0</v>
      </c>
      <c r="D38" s="8"/>
      <c r="E38" s="8">
        <f t="shared" si="13"/>
        <v>0</v>
      </c>
      <c r="F38" s="8">
        <f t="shared" si="13"/>
        <v>0</v>
      </c>
      <c r="G38" s="8">
        <f t="shared" si="13"/>
        <v>0</v>
      </c>
      <c r="H38" s="8">
        <f t="shared" si="13"/>
        <v>0</v>
      </c>
      <c r="I38" s="8">
        <f t="shared" ref="I38:J38" si="14">IFERROR(MIN(I4:I34),0)</f>
        <v>0</v>
      </c>
      <c r="J38" s="8">
        <f t="shared" si="14"/>
        <v>0</v>
      </c>
      <c r="K38" s="8">
        <f t="shared" ref="K38" si="15">IFERROR(MIN(K4:K34),0)</f>
        <v>0</v>
      </c>
      <c r="L38" s="8">
        <f t="shared" ref="L38" si="16">IFERROR(MIN(L4:L34),0)</f>
        <v>0</v>
      </c>
      <c r="M38" s="8">
        <f t="shared" si="13"/>
        <v>0</v>
      </c>
      <c r="N38" s="8">
        <f t="shared" si="13"/>
        <v>0</v>
      </c>
      <c r="O38" s="8"/>
    </row>
    <row r="39" spans="1:15" x14ac:dyDescent="0.3">
      <c r="J39" s="8"/>
    </row>
  </sheetData>
  <mergeCells count="5">
    <mergeCell ref="A1:O1"/>
    <mergeCell ref="A38:B38"/>
    <mergeCell ref="A37:B37"/>
    <mergeCell ref="A36:B36"/>
    <mergeCell ref="A35:B35"/>
  </mergeCells>
  <conditionalFormatting sqref="C4:M34">
    <cfRule type="colorScale" priority="1">
      <colorScale>
        <cfvo type="min"/>
        <cfvo type="percentile" val="50"/>
        <cfvo type="max"/>
        <color rgb="FFFFEB9C"/>
        <color rgb="FF9FE2B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rightToLeft="1" workbookViewId="0">
      <selection sqref="A1:F1"/>
    </sheetView>
  </sheetViews>
  <sheetFormatPr defaultRowHeight="14.4" x14ac:dyDescent="0.3"/>
  <cols>
    <col min="1" max="1" width="22" customWidth="1"/>
    <col min="2" max="6" width="18" customWidth="1"/>
  </cols>
  <sheetData>
    <row r="1" spans="1:6" ht="32.1" customHeight="1" x14ac:dyDescent="0.3">
      <c r="A1" s="14" t="s">
        <v>44</v>
      </c>
      <c r="B1" s="15"/>
      <c r="C1" s="15"/>
      <c r="D1" s="15"/>
      <c r="E1" s="15"/>
      <c r="F1" s="15"/>
    </row>
    <row r="3" spans="1:6" ht="30" customHeight="1" x14ac:dyDescent="0.3">
      <c r="A3" s="1" t="s">
        <v>45</v>
      </c>
      <c r="B3" s="1" t="s">
        <v>46</v>
      </c>
      <c r="C3" s="1" t="s">
        <v>41</v>
      </c>
      <c r="D3" s="1" t="s">
        <v>42</v>
      </c>
      <c r="E3" s="1" t="s">
        <v>43</v>
      </c>
      <c r="F3" s="1" t="s">
        <v>47</v>
      </c>
    </row>
    <row r="4" spans="1:6" x14ac:dyDescent="0.3">
      <c r="A4" s="6" t="s">
        <v>25</v>
      </c>
      <c r="B4" s="6">
        <f>SUM('Daily Tracker'!C4:C34)</f>
        <v>0</v>
      </c>
      <c r="C4" s="6">
        <f>IFERROR(ROUND(AVERAGE('Daily Tracker'!C4:C34),1),0)</f>
        <v>0</v>
      </c>
      <c r="D4" s="6">
        <f>IFERROR(MAX('Daily Tracker'!C4:C34),0)</f>
        <v>0</v>
      </c>
      <c r="E4" s="6">
        <f>IFERROR(MIN('Daily Tracker'!C4:C34),0)</f>
        <v>0</v>
      </c>
      <c r="F4" s="9">
        <f>IFERROR(B4/$B10,0)</f>
        <v>0</v>
      </c>
    </row>
    <row r="5" spans="1:6" x14ac:dyDescent="0.3">
      <c r="A5" s="6" t="s">
        <v>26</v>
      </c>
      <c r="B5" s="6">
        <f>SUM('Daily Tracker'!E4:E34)</f>
        <v>0</v>
      </c>
      <c r="C5" s="6">
        <f>IFERROR(ROUND(AVERAGE('Daily Tracker'!E4:E34),1),0)</f>
        <v>0</v>
      </c>
      <c r="D5" s="6">
        <f>IFERROR(MAX('Daily Tracker'!E4:E34),0)</f>
        <v>0</v>
      </c>
      <c r="E5" s="6">
        <f>IFERROR(MIN('Daily Tracker'!E4:E34),0)</f>
        <v>0</v>
      </c>
      <c r="F5" s="9">
        <f>IFERROR(B5/$B10,0)</f>
        <v>0</v>
      </c>
    </row>
    <row r="6" spans="1:6" x14ac:dyDescent="0.3">
      <c r="A6" s="6" t="s">
        <v>27</v>
      </c>
      <c r="B6" s="6">
        <f>SUM('Daily Tracker'!F4:F34)</f>
        <v>0</v>
      </c>
      <c r="C6" s="6">
        <f>IFERROR(ROUND(AVERAGE('Daily Tracker'!F4:F34),1),0)</f>
        <v>0</v>
      </c>
      <c r="D6" s="6">
        <f>IFERROR(MAX('Daily Tracker'!F4:F34),0)</f>
        <v>0</v>
      </c>
      <c r="E6" s="6">
        <f>IFERROR(MIN('Daily Tracker'!F4:F34),0)</f>
        <v>0</v>
      </c>
      <c r="F6" s="9">
        <f>IFERROR(B6/$B10,0)</f>
        <v>0</v>
      </c>
    </row>
    <row r="7" spans="1:6" x14ac:dyDescent="0.3">
      <c r="A7" s="6" t="s">
        <v>28</v>
      </c>
      <c r="B7" s="6">
        <f>SUM('Daily Tracker'!G4:G34)</f>
        <v>0</v>
      </c>
      <c r="C7" s="6">
        <f>IFERROR(ROUND(AVERAGE('Daily Tracker'!G4:G34),1),0)</f>
        <v>0</v>
      </c>
      <c r="D7" s="6">
        <f>IFERROR(MAX('Daily Tracker'!G4:G34),0)</f>
        <v>0</v>
      </c>
      <c r="E7" s="6">
        <f>IFERROR(MIN('Daily Tracker'!G4:G34),0)</f>
        <v>0</v>
      </c>
      <c r="F7" s="9">
        <f>IFERROR(B7/$B10,0)</f>
        <v>0</v>
      </c>
    </row>
    <row r="8" spans="1:6" x14ac:dyDescent="0.3">
      <c r="A8" s="6" t="s">
        <v>29</v>
      </c>
      <c r="B8" s="6">
        <f>SUM('Daily Tracker'!H4:H34)</f>
        <v>0</v>
      </c>
      <c r="C8" s="6">
        <f>IFERROR(ROUND(AVERAGE('Daily Tracker'!H4:H34),1),0)</f>
        <v>0</v>
      </c>
      <c r="D8" s="6">
        <f>IFERROR(MAX('Daily Tracker'!H4:H34),0)</f>
        <v>0</v>
      </c>
      <c r="E8" s="6">
        <f>IFERROR(MIN('Daily Tracker'!H4:H34),0)</f>
        <v>0</v>
      </c>
      <c r="F8" s="9">
        <f>IFERROR(B8/$B10,0)</f>
        <v>0</v>
      </c>
    </row>
    <row r="9" spans="1:6" x14ac:dyDescent="0.3">
      <c r="A9" s="6" t="s">
        <v>30</v>
      </c>
      <c r="B9" s="6">
        <f>SUM('Daily Tracker'!M4:M34)</f>
        <v>0</v>
      </c>
      <c r="C9" s="6">
        <f>IFERROR(ROUND(AVERAGE('Daily Tracker'!M4:M34),1),0)</f>
        <v>0</v>
      </c>
      <c r="D9" s="6">
        <f>IFERROR(MAX('Daily Tracker'!M4:M34),0)</f>
        <v>0</v>
      </c>
      <c r="E9" s="6">
        <f>IFERROR(MIN('Daily Tracker'!M4:M34),0)</f>
        <v>0</v>
      </c>
      <c r="F9" s="9">
        <f>IFERROR(B9/$B10,0)</f>
        <v>0</v>
      </c>
    </row>
    <row r="10" spans="1:6" x14ac:dyDescent="0.3">
      <c r="A10" s="8" t="s">
        <v>48</v>
      </c>
      <c r="B10" s="8">
        <f>SUM(B4:B9)</f>
        <v>0</v>
      </c>
      <c r="C10" s="8">
        <f>IFERROR(ROUND(AVERAGE(C4:C9),1),0)</f>
        <v>0</v>
      </c>
      <c r="D10" s="8">
        <f>MAX(D4:D9)</f>
        <v>0</v>
      </c>
      <c r="E10" s="8">
        <f>MIN(E4:E9)</f>
        <v>0</v>
      </c>
      <c r="F10" s="10">
        <f>SUM(F4:F9)</f>
        <v>0</v>
      </c>
    </row>
  </sheetData>
  <mergeCells count="1">
    <mergeCell ref="A1:F1"/>
  </mergeCells>
  <conditionalFormatting sqref="B4:B9">
    <cfRule type="colorScale" priority="1">
      <colorScale>
        <cfvo type="min"/>
        <cfvo type="percentile" val="50"/>
        <cfvo type="max"/>
        <color rgb="FFFFEB9C"/>
        <color rgb="FF9FE2B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📌 تعليمات</vt:lpstr>
      <vt:lpstr>Daily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Kayan</cp:lastModifiedBy>
  <dcterms:created xsi:type="dcterms:W3CDTF">2026-05-11T08:12:48Z</dcterms:created>
  <dcterms:modified xsi:type="dcterms:W3CDTF">2026-05-11T08:49:45Z</dcterms:modified>
</cp:coreProperties>
</file>